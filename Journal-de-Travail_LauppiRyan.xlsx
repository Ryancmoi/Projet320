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D:\I320\Projet\"/>
    </mc:Choice>
  </mc:AlternateContent>
  <xr:revisionPtr revIDLastSave="0" documentId="13_ncr:1_{7C445D21-D667-4EEC-825C-2E7A71B2E654}" xr6:coauthVersionLast="47" xr6:coauthVersionMax="47" xr10:uidLastSave="{00000000-0000-0000-0000-000000000000}"/>
  <bookViews>
    <workbookView xWindow="-120" yWindow="-120" windowWidth="38640" windowHeight="21120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<sst xmlns="http://schemas.openxmlformats.org/spreadsheetml/2006/main" count="62" uniqueCount="45">
  <si>
    <t>Journal de travail</t>
  </si>
  <si>
    <t>Auteur:</t>
  </si>
  <si>
    <t>Projet:</t>
  </si>
  <si>
    <t>Temps total:</t>
  </si>
  <si>
    <t>Date:</t>
  </si>
  <si>
    <t>Temps</t>
  </si>
  <si>
    <t>Semaine</t>
  </si>
  <si>
    <t>Jour</t>
  </si>
  <si>
    <t xml:space="preserve">h.      </t>
  </si>
  <si>
    <t>min.</t>
  </si>
  <si>
    <t>Type</t>
  </si>
  <si>
    <t>Description</t>
  </si>
  <si>
    <t>Remarques/problèmes</t>
  </si>
  <si>
    <t>Analyse</t>
  </si>
  <si>
    <t>Documentation</t>
  </si>
  <si>
    <t>Implémentation</t>
  </si>
  <si>
    <t>Test</t>
  </si>
  <si>
    <t>Absent</t>
  </si>
  <si>
    <t>Total heures TPI</t>
  </si>
  <si>
    <t>heures</t>
  </si>
  <si>
    <t>Plannification Effective</t>
  </si>
  <si>
    <t>Plannification Initiale</t>
  </si>
  <si>
    <t>Heures</t>
  </si>
  <si>
    <t>Minutes</t>
  </si>
  <si>
    <t xml:space="preserve">Total </t>
  </si>
  <si>
    <t>Type d'activité</t>
  </si>
  <si>
    <t>Total heures</t>
  </si>
  <si>
    <t>en %</t>
  </si>
  <si>
    <t>Total</t>
  </si>
  <si>
    <t>Läuppi Ryan</t>
  </si>
  <si>
    <t>Projet I320</t>
  </si>
  <si>
    <t>29 sept 2025 à 8h00 au 31 octobre 2025 à 12h15</t>
  </si>
  <si>
    <t>Pas fait grand chose car on a pas reçus les bon fichiers</t>
  </si>
  <si>
    <t>Pris le fichier "base" de Winforms et essayé de le comprendre ce qui n'as pas été concluant</t>
  </si>
  <si>
    <t>J'ai essayé de me connecter a GitHub sans succès par ce que github est moisi</t>
  </si>
  <si>
    <t>Je cherchais des idées sur quel jeu j'allais faire</t>
  </si>
  <si>
    <t>J'ai changé de Winform à MonoGames</t>
  </si>
  <si>
    <t>J'ai implémenter le tire du projectile dans mon jeu</t>
  </si>
  <si>
    <t>J'ai implémenter les ennemis, leurs déplacement et la collision entre les projectiles et ennemis et la collision entres les ennemis et le joueur</t>
  </si>
  <si>
    <t>Impossible de recevoir le code par email et d'activer l'A2F (qui est obligatoire)</t>
  </si>
  <si>
    <t>J'ai essayé de comprendre ce qu'était le bout de code qui nous a été donné  mais je ne l'ai pas trouvé tres utile</t>
  </si>
  <si>
    <t>J'ai commencé a coder sur Winform mais je comprenais pas grand-chose comme c'était nouveau</t>
  </si>
  <si>
    <t>J'ai crée le repo et le projet sur Github avec la liste des taches</t>
  </si>
  <si>
    <t>J'ai commencé  prendre en main MonoGames et j'ai codé le déplacement du joueur et les limites</t>
  </si>
  <si>
    <t>J'ai créer le rapport et commencé a le completer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</si>
</sst>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4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87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6" fillId="13" borderId="2" xfId="0" applyNumberFormat="1" applyFont="1" applyFill="1" applyBorder="1"/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135</c:v>
                </c:pt>
                <c:pt idx="1">
                  <c:v>730</c:v>
                </c:pt>
                <c:pt idx="2">
                  <c:v>0</c:v>
                </c:pt>
                <c:pt idx="3">
                  <c:v>105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4"/>
                <c:pt idx="0">
                  <c:v>0.13917525773195877</c:v>
                </c:pt>
                <c:pt idx="1">
                  <c:v>0.75257731958762886</c:v>
                </c:pt>
                <c:pt idx="2">
                  <c:v>0</c:v>
                </c:pt>
                <c:pt idx="3">
                  <c:v>0.10824742268041238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="145" zoomScaleNormal="145" workbookViewId="0">
      <pane ySplit="6" topLeftCell="A7" activePane="bottomLeft" state="frozen"/>
      <selection pane="bottomLeft" activeCell="B19" sqref="B19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0</v>
      </c>
      <c r="G1" s="11"/>
    </row>
    <row r="2" spans="1:15" ht="23.25" x14ac:dyDescent="0.35">
      <c r="A2" s="86" t="s">
        <v>1</v>
      </c>
      <c r="B2" s="86"/>
      <c r="C2" s="84" t="s">
        <v>29</v>
      </c>
      <c r="D2" s="84"/>
      <c r="E2" s="84"/>
      <c r="F2" s="5" t="s">
        <v>2</v>
      </c>
      <c r="G2" s="64" t="s">
        <v>30</v>
      </c>
    </row>
    <row r="3" spans="1:15" ht="23.25" x14ac:dyDescent="0.35">
      <c r="A3" s="86" t="s">
        <v>3</v>
      </c>
      <c r="B3" s="86"/>
      <c r="C3" s="67" t="str">
        <f>QUOTIENT(E4,60)&amp;" heures "&amp;MOD(E4,60)&amp;" minutes"</f>
        <v>17 heures 10 minutes</v>
      </c>
      <c r="D3" s="17"/>
      <c r="E3" s="3"/>
      <c r="F3" s="4" t="s">
        <v>4</v>
      </c>
      <c r="G3" s="65" t="s">
        <v>31</v>
      </c>
    </row>
    <row r="4" spans="1:15" ht="23.25" hidden="1" x14ac:dyDescent="0.35">
      <c r="B4" s="5"/>
      <c r="C4" s="17">
        <f>SUBTOTAL(9,$C$7:$C$531)*60</f>
        <v>840</v>
      </c>
      <c r="D4" s="17">
        <f>SUBTOTAL(9,$D$7:$D$531)</f>
        <v>190</v>
      </c>
      <c r="E4" s="24">
        <f>SUM(C4:D4)</f>
        <v>1030</v>
      </c>
      <c r="F4" s="4"/>
      <c r="G4" s="6"/>
    </row>
    <row r="5" spans="1:15" x14ac:dyDescent="0.25">
      <c r="C5" s="85" t="s">
        <v>5</v>
      </c>
      <c r="D5" s="85"/>
    </row>
    <row r="6" spans="1:15" s="15" customFormat="1" ht="20.100000000000001" customHeight="1" x14ac:dyDescent="0.3">
      <c r="A6" s="13" t="s">
        <v>6</v>
      </c>
      <c r="B6" s="21" t="s">
        <v>7</v>
      </c>
      <c r="C6" s="25" t="s">
        <v>8</v>
      </c>
      <c r="D6" s="16" t="s">
        <v>9</v>
      </c>
      <c r="E6" s="14" t="s">
        <v>10</v>
      </c>
      <c r="F6" s="14" t="s">
        <v>11</v>
      </c>
      <c r="G6" s="14" t="s">
        <v>12</v>
      </c>
    </row>
    <row r="7" spans="1:15" x14ac:dyDescent="0.25">
      <c r="A7" s="61">
        <f>IF(ISBLANK(B7),"",_xlfn.ISOWEEKNUM('Journal de travail'!$B7))</f>
        <v>40</v>
      </c>
      <c r="B7" s="26">
        <v>45929</v>
      </c>
      <c r="C7" s="27"/>
      <c r="D7" s="28">
        <v>45</v>
      </c>
      <c r="E7" s="29" t="s">
        <v>13</v>
      </c>
      <c r="F7" s="23" t="s">
        <v>32</v>
      </c>
      <c r="G7" s="38"/>
    </row>
    <row r="8" spans="1:15" x14ac:dyDescent="0.25">
      <c r="A8" s="62">
        <f>IF(ISBLANK(B8),"",_xlfn.ISOWEEKNUM('Journal de travail'!$B8))</f>
        <v>40</v>
      </c>
      <c r="B8" s="30">
        <v>45929</v>
      </c>
      <c r="C8" s="31"/>
      <c r="D8" s="32">
        <v>35</v>
      </c>
      <c r="E8" s="33" t="s">
        <v>15</v>
      </c>
      <c r="F8" s="23" t="s">
        <v>33</v>
      </c>
      <c r="G8" s="39"/>
      <c r="M8" t="s">
        <v>13</v>
      </c>
      <c r="N8">
        <v>1</v>
      </c>
      <c r="O8">
        <v>0</v>
      </c>
    </row>
    <row r="9" spans="1:15" x14ac:dyDescent="0.25">
      <c r="A9" s="63">
        <f>IF(ISBLANK(B9),"",_xlfn.ISOWEEKNUM('Journal de travail'!$B9))</f>
        <v>40</v>
      </c>
      <c r="B9" s="34">
        <v>45929</v>
      </c>
      <c r="C9" s="35">
        <v>1</v>
      </c>
      <c r="D9" s="36">
        <v>0</v>
      </c>
      <c r="E9" s="37"/>
      <c r="F9" s="23" t="s">
        <v>34</v>
      </c>
      <c r="G9" s="40" t="s">
        <v>39</v>
      </c>
      <c r="M9" t="s">
        <v>15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40</v>
      </c>
      <c r="B10" s="30">
        <v>45930</v>
      </c>
      <c r="C10" s="31"/>
      <c r="D10" s="32">
        <v>30</v>
      </c>
      <c r="E10" s="33" t="s">
        <v>13</v>
      </c>
      <c r="F10" s="23" t="s">
        <v>35</v>
      </c>
      <c r="G10" s="39"/>
      <c r="M10" t="s">
        <v>16</v>
      </c>
      <c r="N10">
        <v>3</v>
      </c>
      <c r="O10">
        <v>10</v>
      </c>
    </row>
    <row r="11" spans="1:15" ht="31.5" x14ac:dyDescent="0.25">
      <c r="A11" s="63">
        <f>IF(ISBLANK(B11),"",_xlfn.ISOWEEKNUM('Journal de travail'!$B11))</f>
        <v>36</v>
      </c>
      <c r="B11" s="34">
        <v>45906</v>
      </c>
      <c r="C11" s="35">
        <v>1</v>
      </c>
      <c r="D11" s="36">
        <v>0</v>
      </c>
      <c r="E11" s="37" t="s">
        <v>13</v>
      </c>
      <c r="F11" s="23" t="s">
        <v>40</v>
      </c>
      <c r="G11" s="40"/>
      <c r="M11" t="s">
        <v>14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36</v>
      </c>
      <c r="B12" s="30">
        <v>45906</v>
      </c>
      <c r="C12" s="31">
        <v>1</v>
      </c>
      <c r="D12" s="32">
        <v>15</v>
      </c>
      <c r="E12" s="33" t="s">
        <v>15</v>
      </c>
      <c r="F12" s="23" t="s">
        <v>41</v>
      </c>
      <c r="G12" s="39"/>
      <c r="M12" t="s">
        <v>17</v>
      </c>
      <c r="N12">
        <v>5</v>
      </c>
      <c r="O12">
        <v>20</v>
      </c>
    </row>
    <row r="13" spans="1:15" x14ac:dyDescent="0.25">
      <c r="A13" s="63">
        <f>IF(ISBLANK(B13),"",_xlfn.ISOWEEKNUM('Journal de travail'!$B13))</f>
        <v>36</v>
      </c>
      <c r="B13" s="34">
        <v>45906</v>
      </c>
      <c r="C13" s="35"/>
      <c r="D13" s="36">
        <v>20</v>
      </c>
      <c r="E13" s="37" t="s">
        <v>15</v>
      </c>
      <c r="F13" s="23" t="s">
        <v>36</v>
      </c>
      <c r="G13" s="40"/>
      <c r="N13">
        <v>6</v>
      </c>
      <c r="O13">
        <v>25</v>
      </c>
    </row>
    <row r="14" spans="1:15" x14ac:dyDescent="0.25">
      <c r="A14" s="62">
        <f>IF(ISBLANK(B14),"",_xlfn.ISOWEEKNUM('Journal de travail'!$B14))</f>
        <v>36</v>
      </c>
      <c r="B14" s="30">
        <v>45907</v>
      </c>
      <c r="C14" s="31"/>
      <c r="D14" s="32">
        <v>45</v>
      </c>
      <c r="E14" s="33" t="s">
        <v>14</v>
      </c>
      <c r="F14" s="23" t="s">
        <v>42</v>
      </c>
      <c r="G14" s="39"/>
      <c r="N14">
        <v>7</v>
      </c>
      <c r="O14">
        <v>30</v>
      </c>
    </row>
    <row r="15" spans="1:15" x14ac:dyDescent="0.25">
      <c r="A15" s="63">
        <f>IF(ISBLANK(B15),"",_xlfn.ISOWEEKNUM('Journal de travail'!$B15))</f>
        <v>36</v>
      </c>
      <c r="B15" s="34">
        <v>45907</v>
      </c>
      <c r="C15" s="35">
        <v>3</v>
      </c>
      <c r="D15" s="36">
        <v>0</v>
      </c>
      <c r="E15" s="37" t="s">
        <v>15</v>
      </c>
      <c r="F15" s="23" t="s">
        <v>43</v>
      </c>
      <c r="G15" s="40"/>
      <c r="N15">
        <v>8</v>
      </c>
      <c r="O15">
        <v>35</v>
      </c>
    </row>
    <row r="16" spans="1:15" x14ac:dyDescent="0.25">
      <c r="A16" s="62">
        <f>IF(ISBLANK(B16),"",_xlfn.ISOWEEKNUM('Journal de travail'!$B16))</f>
        <v>38</v>
      </c>
      <c r="B16" s="30">
        <v>45917</v>
      </c>
      <c r="C16" s="31">
        <v>3</v>
      </c>
      <c r="D16" s="32">
        <v>0</v>
      </c>
      <c r="E16" s="33" t="s">
        <v>15</v>
      </c>
      <c r="F16" s="23" t="s">
        <v>37</v>
      </c>
      <c r="G16" s="39"/>
      <c r="O16">
        <v>40</v>
      </c>
    </row>
    <row r="17" spans="1:15" x14ac:dyDescent="0.25">
      <c r="A17" s="63">
        <f>IF(ISBLANK(B17),"",_xlfn.ISOWEEKNUM('Journal de travail'!$B17))</f>
        <v>39</v>
      </c>
      <c r="B17" s="34">
        <v>45924</v>
      </c>
      <c r="C17" s="35">
        <v>4</v>
      </c>
      <c r="D17" s="36">
        <v>0</v>
      </c>
      <c r="E17" s="37" t="s">
        <v>15</v>
      </c>
      <c r="F17" s="23" t="s">
        <v>38</v>
      </c>
      <c r="G17" s="40"/>
      <c r="O17">
        <v>45</v>
      </c>
    </row>
    <row r="18" spans="1:15" x14ac:dyDescent="0.25">
      <c r="A18" s="62">
        <f>IF(ISBLANK(B18),"",_xlfn.ISOWEEKNUM('Journal de travail'!$B18))</f>
        <v>39</v>
      </c>
      <c r="B18" s="30">
        <v>45924</v>
      </c>
      <c r="C18" s="31">
        <v>1</v>
      </c>
      <c r="D18" s="32">
        <v>0</v>
      </c>
      <c r="E18" s="33" t="s">
        <v>14</v>
      </c>
      <c r="F18" s="23" t="s">
        <v>44</v>
      </c>
      <c r="G18" s="39"/>
      <c r="O18">
        <v>50</v>
      </c>
    </row>
    <row r="19" spans="1:15" x14ac:dyDescent="0.25">
      <c r="A19" s="63" t="str">
        <f>IF(ISBLANK(B19),"",_xlfn.ISOWEEKNUM('Journal de travail'!$B19))</f>
        <v/>
      </c>
      <c r="B19" s="34"/>
      <c r="C19" s="35"/>
      <c r="D19" s="36"/>
      <c r="E19" s="37"/>
      <c r="F19" s="23"/>
      <c r="G19" s="40"/>
      <c r="O19">
        <v>55</v>
      </c>
    </row>
    <row r="20" spans="1:15" x14ac:dyDescent="0.25">
      <c r="A20" s="62" t="str">
        <f>IF(ISBLANK(B20),"",_xlfn.ISOWEEKNUM('Journal de travail'!$B20))</f>
        <v/>
      </c>
      <c r="B20" s="30"/>
      <c r="C20" s="31"/>
      <c r="D20" s="32"/>
      <c r="E20" s="33"/>
      <c r="F20" s="23"/>
      <c r="G20" s="39"/>
    </row>
    <row r="21" spans="1:15" x14ac:dyDescent="0.25">
      <c r="A21" s="63" t="str">
        <f>IF(ISBLANK(B21),"",_xlfn.ISOWEEKNUM('Journal de travail'!$B21))</f>
        <v/>
      </c>
      <c r="B21" s="34"/>
      <c r="C21" s="35"/>
      <c r="D21" s="36"/>
      <c r="E21" s="37"/>
      <c r="F21" s="23"/>
      <c r="G21" s="40"/>
    </row>
    <row r="22" spans="1:15" x14ac:dyDescent="0.25">
      <c r="A22" s="62" t="str">
        <f>IF(ISBLANK(B22),"",_xlfn.ISOWEEKNUM('Journal de travail'!$B22))</f>
        <v/>
      </c>
      <c r="B22" s="30"/>
      <c r="C22" s="31"/>
      <c r="D22" s="32"/>
      <c r="E22" s="33"/>
      <c r="F22" s="23"/>
      <c r="G22" s="39"/>
    </row>
    <row r="23" spans="1:15" x14ac:dyDescent="0.25">
      <c r="A23" s="63" t="str">
        <f>IF(ISBLANK(B23),"",_xlfn.ISOWEEKNUM('Journal de travail'!$B23))</f>
        <v/>
      </c>
      <c r="B23" s="34"/>
      <c r="C23" s="35"/>
      <c r="D23" s="36"/>
      <c r="E23" s="37"/>
      <c r="F23" s="23"/>
      <c r="G23" s="40"/>
    </row>
    <row r="24" spans="1:15" x14ac:dyDescent="0.25">
      <c r="A24" s="62" t="str">
        <f>IF(ISBLANK(B24),"",_xlfn.ISOWEEKNUM('Journal de travail'!$B24))</f>
        <v/>
      </c>
      <c r="B24" s="30"/>
      <c r="C24" s="31"/>
      <c r="D24" s="32"/>
      <c r="E24" s="33"/>
      <c r="F24" s="23"/>
      <c r="G24" s="39"/>
    </row>
    <row r="25" spans="1:15" x14ac:dyDescent="0.25">
      <c r="A25" s="63" t="str">
        <f>IF(ISBLANK(B25),"",_xlfn.ISOWEEKNUM('Journal de travail'!$B25))</f>
        <v/>
      </c>
      <c r="B25" s="34"/>
      <c r="C25" s="35"/>
      <c r="D25" s="36"/>
      <c r="E25" s="37"/>
      <c r="F25" s="23"/>
      <c r="G25" s="40"/>
    </row>
    <row r="26" spans="1:15" x14ac:dyDescent="0.25">
      <c r="A26" s="62" t="str">
        <f>IF(ISBLANK(B26),"",_xlfn.ISOWEEKNUM('Journal de travail'!$B26))</f>
        <v/>
      </c>
      <c r="B26" s="30"/>
      <c r="C26" s="31"/>
      <c r="D26" s="32"/>
      <c r="E26" s="33"/>
      <c r="F26" s="23"/>
      <c r="G26" s="39"/>
    </row>
    <row r="27" spans="1:15" x14ac:dyDescent="0.25">
      <c r="A27" s="63" t="str">
        <f>IF(ISBLANK(B27),"",_xlfn.ISOWEEKNUM('Journal de travail'!$B27))</f>
        <v/>
      </c>
      <c r="B27" s="34"/>
      <c r="C27" s="35"/>
      <c r="D27" s="36"/>
      <c r="E27" s="37"/>
      <c r="F27" s="23"/>
      <c r="G27" s="40"/>
    </row>
    <row r="28" spans="1:15" x14ac:dyDescent="0.25">
      <c r="A28" s="62" t="str">
        <f>IF(ISBLANK(B28),"",_xlfn.ISOWEEKNUM('Journal de travail'!$B28))</f>
        <v/>
      </c>
      <c r="B28" s="30"/>
      <c r="C28" s="31"/>
      <c r="D28" s="32"/>
      <c r="E28" s="33"/>
      <c r="F28" s="22"/>
      <c r="G28" s="39"/>
    </row>
    <row r="29" spans="1:15" x14ac:dyDescent="0.25">
      <c r="A29" s="63" t="str">
        <f>IF(ISBLANK(B29),"",_xlfn.ISOWEEKNUM('Journal de travail'!$B29))</f>
        <v/>
      </c>
      <c r="B29" s="34"/>
      <c r="C29" s="35"/>
      <c r="D29" s="36"/>
      <c r="E29" s="37"/>
      <c r="F29" s="22"/>
      <c r="G29" s="40"/>
    </row>
    <row r="30" spans="1:15" x14ac:dyDescent="0.25">
      <c r="A30" s="62" t="str">
        <f>IF(ISBLANK(B30),"",_xlfn.ISOWEEKNUM('Journal de travail'!$B30))</f>
        <v/>
      </c>
      <c r="B30" s="30"/>
      <c r="C30" s="31"/>
      <c r="D30" s="32"/>
      <c r="E30" s="33"/>
      <c r="F30" s="23"/>
      <c r="G30" s="39"/>
    </row>
    <row r="31" spans="1:15" x14ac:dyDescent="0.25">
      <c r="A31" s="63" t="str">
        <f>IF(ISBLANK(B31),"",_xlfn.ISOWEEKNUM('Journal de travail'!$B31))</f>
        <v/>
      </c>
      <c r="B31" s="34"/>
      <c r="C31" s="35"/>
      <c r="D31" s="36"/>
      <c r="E31" s="37"/>
      <c r="F31" s="22"/>
      <c r="G31" s="40"/>
    </row>
    <row r="32" spans="1:15" x14ac:dyDescent="0.25">
      <c r="A32" s="62" t="str">
        <f>IF(ISBLANK(B32),"",_xlfn.ISOWEEKNUM('Journal de travail'!$B32))</f>
        <v/>
      </c>
      <c r="B32" s="30"/>
      <c r="C32" s="31"/>
      <c r="D32" s="32"/>
      <c r="E32" s="33"/>
      <c r="F32" s="23"/>
      <c r="G32" s="39"/>
    </row>
    <row r="33" spans="1:7" x14ac:dyDescent="0.25">
      <c r="A33" s="63" t="str">
        <f>IF(ISBLANK(B33),"",_xlfn.ISOWEEKNUM('Journal de travail'!$B33))</f>
        <v/>
      </c>
      <c r="B33" s="34"/>
      <c r="C33" s="35"/>
      <c r="D33" s="36"/>
      <c r="E33" s="37"/>
      <c r="F33" s="22"/>
      <c r="G33" s="40"/>
    </row>
    <row r="34" spans="1:7" x14ac:dyDescent="0.25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 x14ac:dyDescent="0.25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2" workbookViewId="0">
      <selection activeCell="T20" sqref="T20"/>
    </sheetView>
  </sheetViews>
  <sheetFormatPr baseColWidth="10" defaultColWidth="11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18</v>
      </c>
      <c r="F2" s="68">
        <v>90</v>
      </c>
      <c r="G2" s="66" t="s">
        <v>19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20</v>
      </c>
      <c r="L4" s="66" t="s">
        <v>21</v>
      </c>
      <c r="M4" s="41"/>
      <c r="N4" s="19"/>
    </row>
    <row r="5" spans="1:14" x14ac:dyDescent="0.3">
      <c r="A5" t="s">
        <v>22</v>
      </c>
      <c r="B5" t="s">
        <v>23</v>
      </c>
      <c r="C5" s="41" t="s">
        <v>24</v>
      </c>
      <c r="D5" s="42"/>
      <c r="E5" s="45" t="s">
        <v>25</v>
      </c>
      <c r="F5" s="46" t="s">
        <v>26</v>
      </c>
      <c r="G5" s="47" t="s">
        <v>27</v>
      </c>
      <c r="L5" s="48" t="s">
        <v>25</v>
      </c>
      <c r="M5" s="49" t="s">
        <v>26</v>
      </c>
      <c r="N5" s="50" t="s">
        <v>27</v>
      </c>
    </row>
    <row r="6" spans="1:14" x14ac:dyDescent="0.3">
      <c r="A6">
        <f>SUMIF('Journal de travail'!$E$7:$E$532,Plannification!E6,'Journal de travail'!$C$7:$C$532)*60</f>
        <v>60</v>
      </c>
      <c r="B6">
        <f>SUMIF('Journal de travail'!$E$7:$E$532,Plannification!E6,'Journal de travail'!$D$7:$D$532)</f>
        <v>75</v>
      </c>
      <c r="C6">
        <f t="shared" ref="C6:C10" si="0">SUM(A6:B6)</f>
        <v>135</v>
      </c>
      <c r="E6" s="70" t="str">
        <f>'Journal de travail'!M8</f>
        <v>Analyse</v>
      </c>
      <c r="F6" s="71" t="str">
        <f>QUOTIENT(SUM(A6:B6),60)&amp;" h "&amp;TEXT(MOD(SUM(A6:B6),60), "00")&amp;" min"</f>
        <v>2 h 15 min</v>
      </c>
      <c r="G6" s="72">
        <f>SUM(A6:B6)/$C$11</f>
        <v>0.13917525773195877</v>
      </c>
      <c r="L6" s="51" t="str">
        <f>'Journal de travail'!M8</f>
        <v>Analyse</v>
      </c>
      <c r="M6" s="52" t="str">
        <f>INT($F$2*N6)&amp;" h "&amp;TEXT(ROUND(MOD($F$2*N6,1)*60,0),"00")&amp;" m"</f>
        <v>18 h 00 m</v>
      </c>
      <c r="N6" s="58">
        <v>0.2</v>
      </c>
    </row>
    <row r="7" spans="1:14" x14ac:dyDescent="0.3">
      <c r="A7">
        <f>SUMIF('Journal de travail'!$E$7:$E$532,Plannification!E7,'Journal de travail'!$C$7:$C$532)*60</f>
        <v>660</v>
      </c>
      <c r="B7">
        <f>SUMIF('Journal de travail'!$E$7:$E$532,Plannification!E7,'Journal de travail'!$D$7:$D$532)</f>
        <v>70</v>
      </c>
      <c r="C7">
        <f t="shared" si="0"/>
        <v>730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12 h 10 min</v>
      </c>
      <c r="G7" s="75">
        <f t="shared" ref="G7:G9" si="2">SUM(A7:B7)/$C$11</f>
        <v>0.75257731958762886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31 h 30 m</v>
      </c>
      <c r="N7" s="59">
        <v>0.35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76" t="str">
        <f>'Journal de travail'!M10</f>
        <v>Test</v>
      </c>
      <c r="F8" s="71" t="str">
        <f t="shared" si="1"/>
        <v>0 h 00 min</v>
      </c>
      <c r="G8" s="72">
        <f t="shared" si="2"/>
        <v>0</v>
      </c>
      <c r="L8" s="54" t="str">
        <f>'Journal de travail'!M10</f>
        <v>Test</v>
      </c>
      <c r="M8" s="52" t="str">
        <f t="shared" si="3"/>
        <v>4 h 30 m</v>
      </c>
      <c r="N8" s="58">
        <v>0.05</v>
      </c>
    </row>
    <row r="9" spans="1:14" x14ac:dyDescent="0.3">
      <c r="A9">
        <f>SUMIF('Journal de travail'!$E$7:$E$532,Plannification!E9,'Journal de travail'!$C$7:$C$532)*60</f>
        <v>60</v>
      </c>
      <c r="B9">
        <f>SUMIF('Journal de travail'!$E$7:$E$532,Plannification!E9,'Journal de travail'!$D$7:$D$532)</f>
        <v>45</v>
      </c>
      <c r="C9">
        <f t="shared" si="0"/>
        <v>105</v>
      </c>
      <c r="E9" s="77" t="str">
        <f>'Journal de travail'!M11</f>
        <v>Documentation</v>
      </c>
      <c r="F9" s="74" t="str">
        <f t="shared" si="1"/>
        <v>1 h 45 min</v>
      </c>
      <c r="G9" s="75">
        <f t="shared" si="2"/>
        <v>0.10824742268041238</v>
      </c>
      <c r="L9" s="55" t="str">
        <f>'Journal de travail'!M11</f>
        <v>Documentation</v>
      </c>
      <c r="M9" s="52" t="str">
        <f t="shared" si="3"/>
        <v>36 h 00 m</v>
      </c>
      <c r="N9" s="59">
        <v>0.4</v>
      </c>
    </row>
    <row r="10" spans="1:14" hidden="1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17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17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780</v>
      </c>
      <c r="B11">
        <f>SUM(B6:B10)</f>
        <v>190</v>
      </c>
      <c r="C11">
        <f>SUM(A11:B11)</f>
        <v>970</v>
      </c>
      <c r="E11" s="81" t="s">
        <v>28</v>
      </c>
      <c r="F11" s="71" t="str">
        <f t="shared" si="1"/>
        <v>16 h 10 min</v>
      </c>
      <c r="G11" s="82">
        <f>C11/C12</f>
        <v>0.17962962962962964</v>
      </c>
      <c r="L11" s="56" t="s">
        <v>28</v>
      </c>
      <c r="M11" s="57"/>
      <c r="N11" s="60">
        <f>SUM(N6:N10)</f>
        <v>1</v>
      </c>
    </row>
    <row r="12" spans="1:14" x14ac:dyDescent="0.3">
      <c r="C12">
        <f>F2*60</f>
        <v>5400</v>
      </c>
    </row>
    <row r="13" spans="1:14" x14ac:dyDescent="0.3">
      <c r="F13" s="43"/>
    </row>
  </sheetData>
  <sheetProtection algorithmName="SHA-512" hashValue="u6Q3+o7a9rb9ajPGMQFXFJBxNR95C93y6qzzKCld0gZtCTYGL+7OMe+WbK2ki7xwzk+WSRqA9/xPSrIc7CBoPg==" saltValue="e1RdssACZUGVypOFgaRLDA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Normal="100" workbookViewId="0">
      <selection activeCell="R14" sqref="R14"/>
    </sheetView>
  </sheetViews>
  <sheetFormatPr baseColWidth="10" defaultColWidth="11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0a0681-8b2f-4a46-9dab-cf1520193f81">
      <Terms xmlns="http://schemas.microsoft.com/office/infopath/2007/PartnerControls"/>
    </lcf76f155ced4ddcb4097134ff3c332f>
    <TaxCatchAll xmlns="932fafb7-d8e0-4a14-bee3-33aad5c71309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B1120F001D1794FAA6F4057E3355991" ma:contentTypeVersion="10" ma:contentTypeDescription="Crée un document." ma:contentTypeScope="" ma:versionID="a3fb6df6b31548c4fd074caa2ed14580">
  <xsd:schema xmlns:xsd="http://www.w3.org/2001/XMLSchema" xmlns:xs="http://www.w3.org/2001/XMLSchema" xmlns:p="http://schemas.microsoft.com/office/2006/metadata/properties" xmlns:ns2="f20a0681-8b2f-4a46-9dab-cf1520193f81" xmlns:ns3="932fafb7-d8e0-4a14-bee3-33aad5c71309" targetNamespace="http://schemas.microsoft.com/office/2006/metadata/properties" ma:root="true" ma:fieldsID="3d4691fe5d3e52a7f10faf36b21998c3" ns2:_="" ns3:_="">
    <xsd:import namespace="f20a0681-8b2f-4a46-9dab-cf1520193f81"/>
    <xsd:import namespace="932fafb7-d8e0-4a14-bee3-33aad5c713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0a0681-8b2f-4a46-9dab-cf1520193f8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32fafb7-d8e0-4a14-bee3-33aad5c7130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1325519-8edb-4b5c-9516-304f082e19e7}" ma:internalName="TaxCatchAll" ma:showField="CatchAllData" ma:web="932fafb7-d8e0-4a14-bee3-33aad5c713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f20a0681-8b2f-4a46-9dab-cf1520193f81"/>
    <ds:schemaRef ds:uri="932fafb7-d8e0-4a14-bee3-33aad5c71309"/>
  </ds:schemaRefs>
</ds:datastoreItem>
</file>

<file path=customXml/itemProps2.xml><?xml version="1.0" encoding="utf-8"?>
<ds:datastoreItem xmlns:ds="http://schemas.openxmlformats.org/officeDocument/2006/customXml" ds:itemID="{48A6C709-6DA4-4E3E-B94B-FDAD41BABC0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0a0681-8b2f-4a46-9dab-cf1520193f81"/>
    <ds:schemaRef ds:uri="932fafb7-d8e0-4a14-bee3-33aad5c713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Ryan Läuppi</cp:lastModifiedBy>
  <cp:revision/>
  <dcterms:created xsi:type="dcterms:W3CDTF">2023-11-21T20:00:34Z</dcterms:created>
  <dcterms:modified xsi:type="dcterms:W3CDTF">2025-10-24T19:23:55Z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0x0101005B1120F001D1794FAA6F4057E3355991</vt:lpwstr>
  </property>
  <property fmtid="{D5CDD505-2E9C-101B-9397-08002B2CF9AE}" pid="3" name="MediaServiceImageTags">
    <vt:lpwstr/>
  </property>
</Properties>
</file>