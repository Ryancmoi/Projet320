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I320\Projet\"/>
    </mc:Choice>
  </mc:AlternateContent>
  <xr:revisionPtr revIDLastSave="0" documentId="8_{F9B029AE-AF83-4A30-B6BB-BF5EE67AC35E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<sst xmlns="http://schemas.openxmlformats.org/spreadsheetml/2006/main" count="50" uniqueCount="39">
  <si>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</si>
  <si>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</si>
  <si>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</si>
  <si>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</si>
  <si>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</si>
  <si>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</si>
  <si>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</si>
  <si>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</si>
  <si>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</si>
  <si>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</si>
  <si>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</si>
  <si>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</si>
  <si>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</si>
  <si>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</si>
  <si>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Documentation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</si>
  <si>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</si>
  <si>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</si>
  <si>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</si>
  <si>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</si>
  <si>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</si>
  <si>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</si>
  <si>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</si>
  <si>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</si>
  <si>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</si>
  <si>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</si>
  <si>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</si>
  <si>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</si>
  <si>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</si>
  <si>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</si>
  <si>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Läuppi Ryan</t>
  </si>
  <si>
    <t>Projet I320</t>
  </si>
  <si>
    <t>29 sept 2025 à 8h00 au 31 octobre 2025 à 12h15</t>
  </si>
  <si>
    <t>Pas fait grand chose car on a pas reçus les bon fichiers</t>
  </si>
  <si>
    <t>Pris le fichier "base" de Winforms et essayé de le comprendre ce qui n'as pas été concluant</t>
  </si>
  <si>
    <t>J'ai essayé de me connecter a GitHub sans succès par ce que github est moisi</t>
  </si>
  <si>
    <t>Impossible de recevoir le code par email et d'activer l'A2F</t>
  </si>
  <si>
    <t>Je cherchais des idées sur quel jeu j'allais faire</t>
  </si>
  <si>
    <t>J'ai changé de Winform à MonoGames</t>
  </si>
  <si>
    <t>J'ai commencé  prendre en main MonoGames et j'ai codé le déplacement et les limites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</si>
</sst>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75</c:v>
                </c:pt>
                <c:pt idx="1">
                  <c:v>225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0.25</c:v>
                </c:pt>
                <c:pt idx="1">
                  <c:v>0.75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6" sqref="F2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29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6 heures 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240</v>
      </c>
      <c r="D4" s="17">
        <f>SUBTOTAL(9,$D$7:$D$531)</f>
        <v>120</v>
      </c>
      <c r="E4" s="24">
        <f>SUM(C4:D4)</f>
        <v>360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40</v>
      </c>
      <c r="B7" s="26">
        <v>45929</v>
      </c>
      <c r="C7" s="27"/>
      <c r="D7" s="28">
        <v>45</v>
      </c>
      <c r="E7" s="29" t="s">
        <v>13</v>
      </c>
      <c r="F7" s="23" t="s">
        <v>32</v>
      </c>
      <c r="G7" s="38"/>
    </row>
    <row r="8" spans="1:15" x14ac:dyDescent="0.25">
      <c r="A8" s="62">
        <f>IF(ISBLANK(B8),"",_xlfn.ISOWEEKNUM('Journal de travail'!$B8))</f>
        <v>40</v>
      </c>
      <c r="B8" s="30">
        <v>45929</v>
      </c>
      <c r="C8" s="31"/>
      <c r="D8" s="32">
        <v>30</v>
      </c>
      <c r="E8" s="33" t="s">
        <v>15</v>
      </c>
      <c r="F8" s="23" t="s">
        <v>33</v>
      </c>
      <c r="G8" s="39"/>
      <c r="M8" t="s">
        <v>13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40</v>
      </c>
      <c r="B9" s="34">
        <v>45929</v>
      </c>
      <c r="C9" s="35">
        <v>1</v>
      </c>
      <c r="D9" s="36"/>
      <c r="E9" s="37"/>
      <c r="F9" s="23" t="s">
        <v>34</v>
      </c>
      <c r="G9" s="40" t="s">
        <v>35</v>
      </c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40</v>
      </c>
      <c r="B10" s="30">
        <v>45930</v>
      </c>
      <c r="C10" s="31"/>
      <c r="D10" s="32">
        <v>30</v>
      </c>
      <c r="E10" s="33" t="s">
        <v>13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>
        <v>15</v>
      </c>
      <c r="E11" s="37" t="s">
        <v>15</v>
      </c>
      <c r="F11" s="23" t="s">
        <v>37</v>
      </c>
      <c r="G11" s="40"/>
      <c r="M11" t="s">
        <v>14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>
        <v>3</v>
      </c>
      <c r="D12" s="32"/>
      <c r="E12" s="33" t="s">
        <v>15</v>
      </c>
      <c r="F12" s="23" t="s">
        <v>38</v>
      </c>
      <c r="G12" s="39"/>
      <c r="M12" t="s">
        <v>17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75</v>
      </c>
      <c r="C6">
        <f t="shared" ref="C6:C10" si="0">SUM(A6:B6)</f>
        <v>75</v>
      </c>
      <c r="E6" s="70" t="str">
        <f>'Journal de travail'!M8</f>
        <v>Analyse</v>
      </c>
      <c r="F6" s="71" t="str">
        <f>QUOTIENT(SUM(A6:B6),60)&amp;" h "&amp;TEXT(MOD(SUM(A6:B6),60), "00")&amp;" min"</f>
        <v>1 h 15 min</v>
      </c>
      <c r="G6" s="72">
        <f>SUM(A6:B6)/$C$11</f>
        <v>0.25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45</v>
      </c>
      <c r="C7">
        <f t="shared" si="0"/>
        <v>225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45 min</v>
      </c>
      <c r="G7" s="75">
        <f t="shared" ref="G7:G9" si="2">SUM(A7:B7)/$C$11</f>
        <v>0.75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120</v>
      </c>
      <c r="C11">
        <f>SUM(A11:B11)</f>
        <v>300</v>
      </c>
      <c r="E11" s="81" t="s">
        <v>28</v>
      </c>
      <c r="F11" s="71" t="str">
        <f t="shared" si="1"/>
        <v>5 h 00 min</v>
      </c>
      <c r="G11" s="82">
        <f>C11/C12</f>
        <v>5.5555555555555552E-2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a3fb6df6b31548c4fd074caa2ed14580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3d4691fe5d3e52a7f10faf36b21998c3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48A6C709-6DA4-4E3E-B94B-FDAD41BABC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Ryan Läuppi</cp:lastModifiedBy>
  <cp:revision/>
  <dcterms:created xsi:type="dcterms:W3CDTF">2023-11-21T20:00:34Z</dcterms:created>
  <dcterms:modified xsi:type="dcterms:W3CDTF">2025-09-30T15:18:25Z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